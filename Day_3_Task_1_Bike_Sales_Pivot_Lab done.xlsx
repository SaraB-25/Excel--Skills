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green\Downloads\"/>
    </mc:Choice>
  </mc:AlternateContent>
  <xr:revisionPtr revIDLastSave="0" documentId="13_ncr:1_{5F9A2189-FA1B-4856-A02A-371136E0ED55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PIVOT TASK 1" sheetId="2" r:id="rId1"/>
    <sheet name="PIVOT TASK 2" sheetId="8" r:id="rId2"/>
    <sheet name="TASK 2" sheetId="7" r:id="rId3"/>
    <sheet name="Bike Sales" sheetId="1" r:id="rId4"/>
  </sheets>
  <calcPr calcId="191028"/>
  <pivotCaches>
    <pivotCache cacheId="48" r:id="rId5"/>
    <pivotCache cacheId="5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7" l="1" a="1"/>
  <c r="D3" i="7" s="1"/>
  <c r="D4" i="7" a="1"/>
  <c r="D4" i="7"/>
  <c r="D5" i="7" a="1"/>
  <c r="D5" i="7"/>
  <c r="D6" i="7" a="1"/>
  <c r="D6" i="7" s="1"/>
  <c r="D7" i="7" a="1"/>
  <c r="D7" i="7" s="1"/>
  <c r="D8" i="7" a="1"/>
  <c r="D8" i="7"/>
  <c r="D9" i="7" a="1"/>
  <c r="D9" i="7"/>
  <c r="D10" i="7" a="1"/>
  <c r="D10" i="7"/>
  <c r="D11" i="7" a="1"/>
  <c r="D11" i="7"/>
  <c r="D12" i="7" a="1"/>
  <c r="D12" i="7"/>
  <c r="D13" i="7" a="1"/>
  <c r="D13" i="7"/>
  <c r="D2" i="7" a="1"/>
  <c r="D2" i="7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<sst xmlns="http://schemas.openxmlformats.org/spreadsheetml/2006/main" count="888" uniqueCount="180">
  <si>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</si>
  <si>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</si>
  <si>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</si>
  <si>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</si>
  <si>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</si>
  <si>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</si>
  <si>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</si>
  <si>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</si>
  <si>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</si>
  <si>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</si>
  <si>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</si>
  <si>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</si>
  <si>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</si>
  <si>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</si>
  <si>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</si>
  <si>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</si>
  <si>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</si>
  <si>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</si>
  <si>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</si>
  <si>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</si>
  <si>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</si>
  <si>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</si>
  <si>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</si>
  <si>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</si>
  <si>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</si>
  <si>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</si>
  <si>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</si>
  <si>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</si>
  <si>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</si>
  <si>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</si>
  <si>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</si>
  <si>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</si>
  <si>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</si>
  <si>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</si>
  <si>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</si>
  <si>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</si>
  <si>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</si>
  <si>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</si>
  <si>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</si>
  <si>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</si>
  <si>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</si>
  <si>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</si>
  <si>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</si>
  <si>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</si>
  <si>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</si>
  <si>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</si>
  <si>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</si>
  <si>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</si>
  <si>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</si>
  <si>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</si>
  <si>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</si>
  <si>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</si>
  <si>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</si>
  <si>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</si>
  <si>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</si>
  <si>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</si>
  <si>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</si>
  <si>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</si>
  <si>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</si>
  <si>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</si>
  <si>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</si>
  <si>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</si>
  <si>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</si>
  <si>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</si>
  <si>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</si>
  <si>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</si>
  <si>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</si>
  <si>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</si>
  <si>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</si>
  <si>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</si>
  <si>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</si>
  <si>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</si>
  <si>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</si>
  <si>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</si>
  <si>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</si>
  <si>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</si>
  <si>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</si>
  <si>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</si>
  <si>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</si>
  <si>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</si>
  <si>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</si>
  <si>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</si>
  <si>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</si>
  <si>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</si>
  <si>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</si>
  <si>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</si>
  <si>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</si>
  <si>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</si>
  <si>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</si>
  <si>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</si>
  <si>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</si>
  <si>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</si>
  <si>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</si>
  <si>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</si>
  <si>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</si>
  <si>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</si>
  <si>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</si>
  <si>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</si>
  <si>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</si>
  <si>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</si>
  <si>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</si>
  <si>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</si>
  <si>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</si>
  <si>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</si>
  <si>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</si>
  <si>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</si>
  <si>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</si>
  <si>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</si>
  <si>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</si>
  <si>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</si>
  <si>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</si>
  <si>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</si>
  <si>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</si>
  <si>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</si>
  <si>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</si>
  <si>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</si>
  <si>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</si>
  <si>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</si>
  <si>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</si>
  <si>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</si>
  <si>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</si>
  <si>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</si>
  <si>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</si>
  <si>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</si>
  <si>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</si>
  <si>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</si>
  <si>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</si>
  <si>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</si>
  <si>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</si>
  <si>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</si>
  <si>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</si>
  <si>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</si>
  <si>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</si>
  <si>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</si>
  <si>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</si>
  <si>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</si>
  <si>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</si>
  <si>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</si>
  <si>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</si>
  <si>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</si>
  <si>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</si>
  <si>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</si>
  <si>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</si>
  <si>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</si>
  <si>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</si>
  <si>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</si>
  <si>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</si>
  <si>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</si>
  <si>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</si>
  <si>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</si>
  <si>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</si>
  <si>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</si>
  <si>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</si>
  <si>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</si>
  <si>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</si>
  <si>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</si>
  <si>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Row Labels</t>
  </si>
  <si>
    <t>Grand Total</t>
  </si>
  <si>
    <t>Sum of Order_Quantity</t>
  </si>
  <si>
    <t>Column Labels</t>
  </si>
  <si>
    <t>Total Sum of Order_Quantity</t>
  </si>
  <si>
    <t>Adults (35-64) Total</t>
  </si>
  <si>
    <t>Young Adults (25-34) Total</t>
  </si>
  <si>
    <t>Youth (&lt;25) Total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</si>
  <si>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</si>
  <si>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</si>
  <si>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</si>
  <si>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</si>
  <si>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</si>
  <si>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</si>
  <si>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</si>
  <si>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</si>
  <si>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</si>
  <si>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</si>
  <si>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</si>
  <si>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</si>
  <si>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Sum of Sales Volume</t>
  </si>
  <si>
    <t xml:space="preserve">Total Sum of  Profit </t>
  </si>
  <si>
    <t xml:space="preserve">Sum of  Profit </t>
  </si>
  <si>
    <t>Customer_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</si>
</sst>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sz val="12"/>
      <color theme="1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3" xfId="0" applyFont="1" applyBorder="1" applyAlignment="1">
      <alignment vertical="center" wrapText="1"/>
    </xf>
    <xf numFmtId="0" fontId="23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pivotButton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7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en Bridge Community Housing" refreshedDate="45961.473891435184" createdVersion="8" refreshedVersion="8" minRefreshableVersion="3" recordCount="88" xr:uid="{912CAC1A-4663-46AD-8980-BA243E27CF99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Germany"/>
        <s v="Canada"/>
        <s v="France"/>
        <s v="United States " u="1"/>
        <s v="United  States" u="1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en Bridge Community Housing" refreshedDate="45961.490175347222" createdVersion="8" refreshedVersion="8" minRefreshableVersion="3" recordCount="12" xr:uid="{61635C45-F4FA-4E8B-9FE8-71A055C381FC}">
  <cacheSource type="worksheet">
    <worksheetSource ref="A1:C13" sheet="TASK 2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0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238B5-8CAA-46C4-B65A-CEF6DE0FEB6D}" name="PivotTable3" cacheId="4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P15" firstHeaderRow="1" firstDataRow="3" firstDataCol="2"/>
  <pivotFields count="19">
    <pivotField showAll="0"/>
    <pivotField numFmtId="14" showAll="0"/>
    <pivotField showAll="0"/>
    <pivotField showAll="0"/>
    <pivotField showAll="0"/>
    <pivotField showAll="0"/>
    <pivotField axis="axisRow" outline="0" showAll="0" sortType="descending">
      <items count="4">
        <item x="2"/>
        <item x="1"/>
        <item x="0"/>
        <item t="default"/>
      </items>
    </pivotField>
    <pivotField name="Customer_ Gender" axis="axisRow" showAll="0">
      <items count="3">
        <item x="0"/>
        <item x="1"/>
        <item t="default"/>
      </items>
    </pivotField>
    <pivotField axis="axisCol" showAll="0">
      <items count="9">
        <item x="2"/>
        <item x="4"/>
        <item x="5"/>
        <item x="3"/>
        <item m="1" x="7"/>
        <item x="1"/>
        <item x="0"/>
        <item m="1" x="6"/>
        <item t="default"/>
      </items>
    </pivotField>
    <pivotField showAll="0"/>
    <pivotField showAll="0"/>
    <pivotField showAll="0"/>
    <pivotField showAll="0"/>
    <pivotField dataField="1" showAll="0"/>
    <pivotField numFmtId="164" showAll="0"/>
    <pivotField numFmtId="164" showAll="0"/>
    <pivotField dataField="1" numFmtId="164" showAll="0"/>
    <pivotField numFmtId="164" showAll="0"/>
    <pivotField numFmtId="164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2">
    <field x="8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dataFields count="2">
    <dataField name="Sum of Order_Quantity" fld="13" baseField="0" baseItem="0"/>
    <dataField name="Sum of  Profit " fld="16" baseField="0" baseItem="0" numFmtId="164"/>
  </dataFields>
  <formats count="9">
    <format dxfId="12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2">
          <reference field="4294967294" count="1">
            <x v="0"/>
          </reference>
          <reference field="8" count="1" selected="0"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>
            <x v="0"/>
          </reference>
          <reference field="8" count="1" selected="0">
            <x v="6"/>
          </reference>
        </references>
      </pivotArea>
    </format>
    <format dxfId="16">
      <pivotArea dataOnly="0" labelOnly="1" outline="0" fieldPosition="0">
        <references count="2">
          <reference field="4294967294" count="1">
            <x v="0"/>
          </reference>
          <reference field="8" count="1" selected="0">
            <x v="3"/>
          </reference>
        </references>
      </pivotArea>
    </format>
    <format dxfId="17">
      <pivotArea field="7" type="button" dataOnly="0" labelOnly="1" outline="0" axis="axisRow" fieldPosition="1"/>
    </format>
    <format dxfId="18">
      <pivotArea dataOnly="0" labelOnly="1" outline="0" fieldPosition="0">
        <references count="2">
          <reference field="4294967294" count="1">
            <x v="0"/>
          </reference>
          <reference field="8" count="1" selected="0">
            <x v="0"/>
          </reference>
        </references>
      </pivotArea>
    </format>
    <format dxfId="19">
      <pivotArea dataOnly="0" labelOnly="1" outline="0" fieldPosition="0">
        <references count="2">
          <reference field="4294967294" count="1">
            <x v="0"/>
          </reference>
          <reference field="8" count="1" selected="0">
            <x v="1"/>
          </reference>
        </references>
      </pivotArea>
    </format>
    <format dxfId="20">
      <pivotArea dataOnly="0" labelOnly="1" outline="0" fieldPosition="0">
        <references count="2">
          <reference field="4294967294" count="1">
            <x v="0"/>
          </reference>
          <reference field="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B3BC4B-E265-4C5B-8F00-26B1CADB5A55}" name="PivotTable4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3">
    <pivotField axis="axisRow" showAll="0">
      <items count="7">
        <item x="1"/>
        <item x="4"/>
        <item x="3"/>
        <item x="5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 Volum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AC48-F06D-4DD3-9C56-C5C4F9308294}">
  <dimension ref="A3:P15"/>
  <sheetViews>
    <sheetView topLeftCell="A5" zoomScale="130" zoomScaleNormal="130" workbookViewId="0">
      <selection activeCell="N15" sqref="N15"/>
    </sheetView>
  </sheetViews>
  <sheetFormatPr defaultRowHeight="15" x14ac:dyDescent="0.25"/>
  <cols>
    <col min="1" max="1" width="24.5703125" bestFit="1" customWidth="1"/>
    <col min="2" max="2" width="10.5703125" customWidth="1"/>
    <col min="3" max="3" width="14.5703125" customWidth="1"/>
    <col min="4" max="4" width="13.5703125" bestFit="1" customWidth="1"/>
    <col min="5" max="5" width="15.140625" customWidth="1"/>
    <col min="6" max="6" width="13.5703125" bestFit="1" customWidth="1"/>
    <col min="7" max="7" width="15" customWidth="1"/>
    <col min="8" max="8" width="13.5703125" bestFit="1" customWidth="1"/>
    <col min="9" max="9" width="15" customWidth="1"/>
    <col min="10" max="10" width="13.5703125" bestFit="1" customWidth="1"/>
    <col min="11" max="11" width="15" customWidth="1"/>
    <col min="12" max="12" width="13.5703125" bestFit="1" customWidth="1"/>
    <col min="13" max="13" width="15" customWidth="1"/>
    <col min="14" max="14" width="13.5703125" bestFit="1" customWidth="1"/>
    <col min="15" max="15" width="14.7109375" customWidth="1"/>
    <col min="16" max="16" width="18.5703125" bestFit="1" customWidth="1"/>
  </cols>
  <sheetData>
    <row r="3" spans="1:16" x14ac:dyDescent="0.25">
      <c r="C3" s="10" t="s">
        <v>159</v>
      </c>
    </row>
    <row r="4" spans="1:16" ht="45" x14ac:dyDescent="0.25">
      <c r="C4" t="s">
        <v>36</v>
      </c>
      <c r="E4" t="s">
        <v>56</v>
      </c>
      <c r="G4" t="s">
        <v>85</v>
      </c>
      <c r="I4" t="s">
        <v>48</v>
      </c>
      <c r="K4" t="s">
        <v>29</v>
      </c>
      <c r="M4" t="s">
        <v>23</v>
      </c>
      <c r="O4" s="16" t="s">
        <v>160</v>
      </c>
      <c r="P4" t="s">
        <v>177</v>
      </c>
    </row>
    <row r="5" spans="1:16" ht="33" customHeight="1" x14ac:dyDescent="0.25">
      <c r="A5" s="10" t="s">
        <v>156</v>
      </c>
      <c r="B5" s="17" t="s">
        <v>179</v>
      </c>
      <c r="C5" s="16" t="s">
        <v>158</v>
      </c>
      <c r="D5" t="s">
        <v>178</v>
      </c>
      <c r="E5" s="16" t="s">
        <v>158</v>
      </c>
      <c r="F5" t="s">
        <v>178</v>
      </c>
      <c r="G5" s="16" t="s">
        <v>158</v>
      </c>
      <c r="H5" t="s">
        <v>178</v>
      </c>
      <c r="I5" s="16" t="s">
        <v>158</v>
      </c>
      <c r="J5" t="s">
        <v>178</v>
      </c>
      <c r="K5" s="16" t="s">
        <v>158</v>
      </c>
      <c r="L5" t="s">
        <v>178</v>
      </c>
      <c r="M5" s="16" t="s">
        <v>158</v>
      </c>
      <c r="N5" t="s">
        <v>178</v>
      </c>
    </row>
    <row r="6" spans="1:16" x14ac:dyDescent="0.25">
      <c r="A6" s="8" t="s">
        <v>41</v>
      </c>
      <c r="B6" s="8" t="s">
        <v>22</v>
      </c>
      <c r="C6" s="9">
        <v>9</v>
      </c>
      <c r="D6" s="2">
        <v>2265</v>
      </c>
      <c r="E6" s="9">
        <v>0</v>
      </c>
      <c r="F6" s="2">
        <v>0</v>
      </c>
      <c r="G6" s="9">
        <v>6</v>
      </c>
      <c r="H6" s="2">
        <v>6291</v>
      </c>
      <c r="I6" s="9">
        <v>0</v>
      </c>
      <c r="J6" s="2">
        <v>0</v>
      </c>
      <c r="K6" s="9">
        <v>1</v>
      </c>
      <c r="L6" s="2">
        <v>1043</v>
      </c>
      <c r="M6" s="9">
        <v>0</v>
      </c>
      <c r="N6" s="2">
        <v>0</v>
      </c>
      <c r="O6" s="9">
        <v>16</v>
      </c>
      <c r="P6" s="2">
        <v>9599</v>
      </c>
    </row>
    <row r="7" spans="1:16" x14ac:dyDescent="0.25">
      <c r="B7" s="8" t="s">
        <v>28</v>
      </c>
      <c r="C7" s="9">
        <v>2</v>
      </c>
      <c r="D7" s="2">
        <v>490</v>
      </c>
      <c r="E7" s="9">
        <v>0</v>
      </c>
      <c r="F7" s="2">
        <v>0</v>
      </c>
      <c r="G7" s="9">
        <v>4</v>
      </c>
      <c r="H7" s="2">
        <v>4216</v>
      </c>
      <c r="I7" s="9">
        <v>0</v>
      </c>
      <c r="J7" s="2">
        <v>0</v>
      </c>
      <c r="K7" s="9">
        <v>5</v>
      </c>
      <c r="L7" s="2">
        <v>1745</v>
      </c>
      <c r="M7" s="9">
        <v>0</v>
      </c>
      <c r="N7" s="2">
        <v>0</v>
      </c>
      <c r="O7" s="9">
        <v>11</v>
      </c>
      <c r="P7" s="2">
        <v>6451</v>
      </c>
    </row>
    <row r="8" spans="1:16" x14ac:dyDescent="0.25">
      <c r="A8" s="8" t="s">
        <v>163</v>
      </c>
      <c r="C8" s="9">
        <v>11</v>
      </c>
      <c r="D8" s="2">
        <v>2755</v>
      </c>
      <c r="E8" s="9">
        <v>0</v>
      </c>
      <c r="F8" s="2">
        <v>0</v>
      </c>
      <c r="G8" s="9">
        <v>10</v>
      </c>
      <c r="H8" s="2">
        <v>10507</v>
      </c>
      <c r="I8" s="9">
        <v>0</v>
      </c>
      <c r="J8" s="2">
        <v>0</v>
      </c>
      <c r="K8" s="9">
        <v>6</v>
      </c>
      <c r="L8" s="2">
        <v>2788</v>
      </c>
      <c r="M8" s="9">
        <v>0</v>
      </c>
      <c r="N8" s="2">
        <v>0</v>
      </c>
      <c r="O8" s="9">
        <v>27</v>
      </c>
      <c r="P8" s="2">
        <v>16050</v>
      </c>
    </row>
    <row r="9" spans="1:16" x14ac:dyDescent="0.25">
      <c r="A9" s="8" t="s">
        <v>35</v>
      </c>
      <c r="B9" s="8" t="s">
        <v>22</v>
      </c>
      <c r="C9" s="9">
        <v>17</v>
      </c>
      <c r="D9" s="2">
        <v>16204</v>
      </c>
      <c r="E9" s="9">
        <v>6</v>
      </c>
      <c r="F9" s="2">
        <v>6302</v>
      </c>
      <c r="G9" s="9">
        <v>1</v>
      </c>
      <c r="H9" s="2">
        <v>1054</v>
      </c>
      <c r="I9" s="9">
        <v>0</v>
      </c>
      <c r="J9" s="2">
        <v>0</v>
      </c>
      <c r="K9" s="9">
        <v>3</v>
      </c>
      <c r="L9" s="2">
        <v>1047</v>
      </c>
      <c r="M9" s="9">
        <v>10</v>
      </c>
      <c r="N9" s="2">
        <v>10952</v>
      </c>
      <c r="O9" s="9">
        <v>37</v>
      </c>
      <c r="P9" s="2">
        <v>35559</v>
      </c>
    </row>
    <row r="10" spans="1:16" x14ac:dyDescent="0.25">
      <c r="B10" s="8" t="s">
        <v>28</v>
      </c>
      <c r="C10" s="9">
        <v>3</v>
      </c>
      <c r="D10" s="2">
        <v>2435</v>
      </c>
      <c r="E10" s="9">
        <v>5</v>
      </c>
      <c r="F10" s="2">
        <v>2821</v>
      </c>
      <c r="G10" s="9">
        <v>9</v>
      </c>
      <c r="H10" s="2">
        <v>9420</v>
      </c>
      <c r="I10" s="9">
        <v>0</v>
      </c>
      <c r="J10" s="2">
        <v>0</v>
      </c>
      <c r="K10" s="9">
        <v>1</v>
      </c>
      <c r="L10" s="2">
        <v>1043</v>
      </c>
      <c r="M10" s="9">
        <v>6</v>
      </c>
      <c r="N10" s="2">
        <v>2684</v>
      </c>
      <c r="O10" s="9">
        <v>24</v>
      </c>
      <c r="P10" s="2">
        <v>18403</v>
      </c>
    </row>
    <row r="11" spans="1:16" x14ac:dyDescent="0.25">
      <c r="A11" s="8" t="s">
        <v>162</v>
      </c>
      <c r="C11" s="9">
        <v>20</v>
      </c>
      <c r="D11" s="2">
        <v>18639</v>
      </c>
      <c r="E11" s="9">
        <v>11</v>
      </c>
      <c r="F11" s="2">
        <v>9123</v>
      </c>
      <c r="G11" s="9">
        <v>10</v>
      </c>
      <c r="H11" s="2">
        <v>10474</v>
      </c>
      <c r="I11" s="9">
        <v>0</v>
      </c>
      <c r="J11" s="2">
        <v>0</v>
      </c>
      <c r="K11" s="9">
        <v>4</v>
      </c>
      <c r="L11" s="2">
        <v>2090</v>
      </c>
      <c r="M11" s="9">
        <v>16</v>
      </c>
      <c r="N11" s="2">
        <v>13636</v>
      </c>
      <c r="O11" s="9">
        <v>61</v>
      </c>
      <c r="P11" s="2">
        <v>53962</v>
      </c>
    </row>
    <row r="12" spans="1:16" x14ac:dyDescent="0.25">
      <c r="A12" s="8" t="s">
        <v>21</v>
      </c>
      <c r="B12" s="8" t="s">
        <v>22</v>
      </c>
      <c r="C12" s="9">
        <v>17</v>
      </c>
      <c r="D12" s="2">
        <v>13276</v>
      </c>
      <c r="E12" s="9">
        <v>0</v>
      </c>
      <c r="F12" s="2">
        <v>0</v>
      </c>
      <c r="G12" s="9">
        <v>0</v>
      </c>
      <c r="H12" s="2">
        <v>0</v>
      </c>
      <c r="I12" s="9">
        <v>8</v>
      </c>
      <c r="J12" s="2">
        <v>8410</v>
      </c>
      <c r="K12" s="9">
        <v>1</v>
      </c>
      <c r="L12" s="2">
        <v>1043</v>
      </c>
      <c r="M12" s="9">
        <v>29</v>
      </c>
      <c r="N12" s="2">
        <v>29656</v>
      </c>
      <c r="O12" s="9">
        <v>55</v>
      </c>
      <c r="P12" s="2">
        <v>52385</v>
      </c>
    </row>
    <row r="13" spans="1:16" x14ac:dyDescent="0.25">
      <c r="B13" s="8" t="s">
        <v>28</v>
      </c>
      <c r="C13" s="9">
        <v>15</v>
      </c>
      <c r="D13" s="2">
        <v>15656</v>
      </c>
      <c r="E13" s="9">
        <v>0</v>
      </c>
      <c r="F13" s="2">
        <v>0</v>
      </c>
      <c r="G13" s="9">
        <v>0</v>
      </c>
      <c r="H13" s="2">
        <v>0</v>
      </c>
      <c r="I13" s="9">
        <v>5</v>
      </c>
      <c r="J13" s="2">
        <v>5226</v>
      </c>
      <c r="K13" s="9">
        <v>3</v>
      </c>
      <c r="L13" s="2">
        <v>3151</v>
      </c>
      <c r="M13" s="9">
        <v>21</v>
      </c>
      <c r="N13" s="2">
        <v>17078</v>
      </c>
      <c r="O13" s="9">
        <v>44</v>
      </c>
      <c r="P13" s="2">
        <v>41111</v>
      </c>
    </row>
    <row r="14" spans="1:16" x14ac:dyDescent="0.25">
      <c r="A14" s="8" t="s">
        <v>161</v>
      </c>
      <c r="C14" s="9">
        <v>32</v>
      </c>
      <c r="D14" s="2">
        <v>28932</v>
      </c>
      <c r="E14" s="9">
        <v>0</v>
      </c>
      <c r="F14" s="2">
        <v>0</v>
      </c>
      <c r="G14" s="9">
        <v>0</v>
      </c>
      <c r="H14" s="2">
        <v>0</v>
      </c>
      <c r="I14" s="9">
        <v>13</v>
      </c>
      <c r="J14" s="2">
        <v>13636</v>
      </c>
      <c r="K14" s="9">
        <v>4</v>
      </c>
      <c r="L14" s="2">
        <v>4194</v>
      </c>
      <c r="M14" s="9">
        <v>50</v>
      </c>
      <c r="N14" s="2">
        <v>46734</v>
      </c>
      <c r="O14" s="9">
        <v>99</v>
      </c>
      <c r="P14" s="2">
        <v>93496</v>
      </c>
    </row>
    <row r="15" spans="1:16" x14ac:dyDescent="0.25">
      <c r="A15" s="8" t="s">
        <v>157</v>
      </c>
      <c r="C15" s="9">
        <v>63</v>
      </c>
      <c r="D15" s="2">
        <v>50326</v>
      </c>
      <c r="E15" s="9">
        <v>11</v>
      </c>
      <c r="F15" s="2">
        <v>9123</v>
      </c>
      <c r="G15" s="9">
        <v>20</v>
      </c>
      <c r="H15" s="2">
        <v>20981</v>
      </c>
      <c r="I15" s="9">
        <v>13</v>
      </c>
      <c r="J15" s="2">
        <v>13636</v>
      </c>
      <c r="K15" s="9">
        <v>14</v>
      </c>
      <c r="L15" s="2">
        <v>9072</v>
      </c>
      <c r="M15" s="9">
        <v>66</v>
      </c>
      <c r="N15" s="2">
        <v>60370</v>
      </c>
      <c r="O15" s="9">
        <v>187</v>
      </c>
      <c r="P15" s="2">
        <v>163508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2B3FB-BFB2-4237-BB22-FA979A9DB28F}">
  <dimension ref="A3:E11"/>
  <sheetViews>
    <sheetView workbookViewId="0">
      <selection activeCell="G16" sqref="G16"/>
    </sheetView>
  </sheetViews>
  <sheetFormatPr defaultRowHeight="15" x14ac:dyDescent="0.25"/>
  <cols>
    <col min="1" max="1" width="19.85546875" bestFit="1" customWidth="1"/>
    <col min="2" max="2" width="16.28515625" bestFit="1" customWidth="1"/>
    <col min="3" max="3" width="8" bestFit="1" customWidth="1"/>
    <col min="4" max="4" width="12.7109375" bestFit="1" customWidth="1"/>
    <col min="5" max="5" width="11.28515625" bestFit="1" customWidth="1"/>
    <col min="6" max="6" width="19.85546875" bestFit="1" customWidth="1"/>
  </cols>
  <sheetData>
    <row r="3" spans="1:5" x14ac:dyDescent="0.25">
      <c r="A3" s="10" t="s">
        <v>176</v>
      </c>
      <c r="B3" s="10" t="s">
        <v>159</v>
      </c>
    </row>
    <row r="4" spans="1:5" x14ac:dyDescent="0.25">
      <c r="A4" s="10" t="s">
        <v>156</v>
      </c>
      <c r="B4" t="s">
        <v>168</v>
      </c>
      <c r="C4" t="s">
        <v>171</v>
      </c>
      <c r="D4" t="s">
        <v>169</v>
      </c>
      <c r="E4" t="s">
        <v>157</v>
      </c>
    </row>
    <row r="5" spans="1:5" x14ac:dyDescent="0.25">
      <c r="A5" s="8" t="s">
        <v>170</v>
      </c>
      <c r="B5" s="9">
        <v>700</v>
      </c>
      <c r="C5" s="9">
        <v>400</v>
      </c>
      <c r="D5" s="9"/>
      <c r="E5" s="9">
        <v>1100</v>
      </c>
    </row>
    <row r="6" spans="1:5" x14ac:dyDescent="0.25">
      <c r="A6" s="8" t="s">
        <v>174</v>
      </c>
      <c r="B6" s="9">
        <v>250</v>
      </c>
      <c r="C6" s="9">
        <v>300</v>
      </c>
      <c r="D6" s="9"/>
      <c r="E6" s="9">
        <v>550</v>
      </c>
    </row>
    <row r="7" spans="1:5" x14ac:dyDescent="0.25">
      <c r="A7" s="8" t="s">
        <v>173</v>
      </c>
      <c r="B7" s="9"/>
      <c r="C7" s="9">
        <v>800</v>
      </c>
      <c r="D7" s="9">
        <v>300</v>
      </c>
      <c r="E7" s="9">
        <v>1100</v>
      </c>
    </row>
    <row r="8" spans="1:5" x14ac:dyDescent="0.25">
      <c r="A8" s="8" t="s">
        <v>175</v>
      </c>
      <c r="B8" s="9">
        <v>400</v>
      </c>
      <c r="C8" s="9"/>
      <c r="D8" s="9">
        <v>600</v>
      </c>
      <c r="E8" s="9">
        <v>1000</v>
      </c>
    </row>
    <row r="9" spans="1:5" x14ac:dyDescent="0.25">
      <c r="A9" s="8" t="s">
        <v>172</v>
      </c>
      <c r="B9" s="9">
        <v>600</v>
      </c>
      <c r="C9" s="9"/>
      <c r="D9" s="9">
        <v>150</v>
      </c>
      <c r="E9" s="9">
        <v>750</v>
      </c>
    </row>
    <row r="10" spans="1:5" x14ac:dyDescent="0.25">
      <c r="A10" s="8" t="s">
        <v>167</v>
      </c>
      <c r="B10" s="9">
        <v>500</v>
      </c>
      <c r="C10" s="9"/>
      <c r="D10" s="9">
        <v>200</v>
      </c>
      <c r="E10" s="9">
        <v>700</v>
      </c>
    </row>
    <row r="11" spans="1:5" x14ac:dyDescent="0.25">
      <c r="A11" s="8" t="s">
        <v>157</v>
      </c>
      <c r="B11" s="9">
        <v>2450</v>
      </c>
      <c r="C11" s="9">
        <v>1500</v>
      </c>
      <c r="D11" s="9">
        <v>1250</v>
      </c>
      <c r="E11" s="9">
        <v>5200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B886-32DB-402B-A19E-BB8E0BE8829E}">
  <dimension ref="A1:D13"/>
  <sheetViews>
    <sheetView tabSelected="1" workbookViewId="0">
      <selection activeCell="J11" sqref="J11"/>
    </sheetView>
  </sheetViews>
  <sheetFormatPr defaultRowHeight="15" x14ac:dyDescent="0.25"/>
  <cols>
    <col min="1" max="1" width="13.28515625" customWidth="1"/>
    <col min="2" max="2" width="19" customWidth="1"/>
    <col min="3" max="3" width="22.42578125" customWidth="1"/>
  </cols>
  <sheetData>
    <row r="1" spans="1:4" ht="18" thickBot="1" x14ac:dyDescent="0.3">
      <c r="A1" s="11" t="s">
        <v>164</v>
      </c>
      <c r="B1" s="12" t="s">
        <v>165</v>
      </c>
      <c r="C1" s="12" t="s">
        <v>166</v>
      </c>
    </row>
    <row r="2" spans="1:4" ht="18" thickBot="1" x14ac:dyDescent="0.3">
      <c r="A2" s="13" t="s">
        <v>167</v>
      </c>
      <c r="B2" s="14" t="s">
        <v>168</v>
      </c>
      <c r="C2" s="14">
        <v>500</v>
      </c>
      <c r="D2" s="15" t="str" cm="1">
        <f t="array" ref="D2">_xlfn.SWITCH(TRUE, C2 &gt; 600, "High", C2 &gt;= 300, "Medium", "Low")</f>
        <v>Medium</v>
      </c>
    </row>
    <row r="3" spans="1:4" ht="18" thickBot="1" x14ac:dyDescent="0.3">
      <c r="A3" s="13" t="s">
        <v>167</v>
      </c>
      <c r="B3" s="14" t="s">
        <v>169</v>
      </c>
      <c r="C3" s="14">
        <v>200</v>
      </c>
      <c r="D3" s="15" t="str" cm="1">
        <f t="array" ref="D3">_xlfn.SWITCH(TRUE, C3 &gt; 600, "High", C3 &gt;= 300, "Medium", "Low")</f>
        <v>Low</v>
      </c>
    </row>
    <row r="4" spans="1:4" ht="18" thickBot="1" x14ac:dyDescent="0.3">
      <c r="A4" s="13" t="s">
        <v>170</v>
      </c>
      <c r="B4" s="14" t="s">
        <v>168</v>
      </c>
      <c r="C4" s="14">
        <v>700</v>
      </c>
      <c r="D4" s="15" t="str" cm="1">
        <f t="array" ref="D4">_xlfn.SWITCH(TRUE, C4 &gt; 600, "High", C4 &gt;= 300, "Medium", "Low")</f>
        <v>High</v>
      </c>
    </row>
    <row r="5" spans="1:4" ht="18" thickBot="1" x14ac:dyDescent="0.3">
      <c r="A5" s="13" t="s">
        <v>170</v>
      </c>
      <c r="B5" s="14" t="s">
        <v>171</v>
      </c>
      <c r="C5" s="14">
        <v>400</v>
      </c>
      <c r="D5" s="15" t="str" cm="1">
        <f t="array" ref="D5">_xlfn.SWITCH(TRUE, C5 &gt; 600, "High", C5 &gt;= 300, "Medium", "Low")</f>
        <v>Medium</v>
      </c>
    </row>
    <row r="6" spans="1:4" ht="18" thickBot="1" x14ac:dyDescent="0.3">
      <c r="A6" s="13" t="s">
        <v>172</v>
      </c>
      <c r="B6" s="14" t="s">
        <v>169</v>
      </c>
      <c r="C6" s="14">
        <v>150</v>
      </c>
      <c r="D6" s="15" t="str" cm="1">
        <f t="array" ref="D6">_xlfn.SWITCH(TRUE, C6 &gt; 600, "High", C6 &gt;= 300, "Medium", "Low")</f>
        <v>Low</v>
      </c>
    </row>
    <row r="7" spans="1:4" ht="18" thickBot="1" x14ac:dyDescent="0.3">
      <c r="A7" s="13" t="s">
        <v>172</v>
      </c>
      <c r="B7" s="14" t="s">
        <v>168</v>
      </c>
      <c r="C7" s="14">
        <v>600</v>
      </c>
      <c r="D7" s="15" t="str" cm="1">
        <f t="array" ref="D7">_xlfn.SWITCH(TRUE, C7 &gt; 600, "High", C7 &gt;= 300, "Medium", "Low")</f>
        <v>Medium</v>
      </c>
    </row>
    <row r="8" spans="1:4" ht="18" thickBot="1" x14ac:dyDescent="0.3">
      <c r="A8" s="13" t="s">
        <v>173</v>
      </c>
      <c r="B8" s="14" t="s">
        <v>171</v>
      </c>
      <c r="C8" s="14">
        <v>800</v>
      </c>
      <c r="D8" s="15" t="str" cm="1">
        <f t="array" ref="D8">_xlfn.SWITCH(TRUE, C8 &gt; 600, "High", C8 &gt;= 300, "Medium", "Low")</f>
        <v>High</v>
      </c>
    </row>
    <row r="9" spans="1:4" ht="18" thickBot="1" x14ac:dyDescent="0.3">
      <c r="A9" s="13" t="s">
        <v>173</v>
      </c>
      <c r="B9" s="14" t="s">
        <v>169</v>
      </c>
      <c r="C9" s="14">
        <v>300</v>
      </c>
      <c r="D9" s="15" t="str" cm="1">
        <f t="array" ref="D9">_xlfn.SWITCH(TRUE, C9 &gt; 600, "High", C9 &gt;= 300, "Medium", "Low")</f>
        <v>Medium</v>
      </c>
    </row>
    <row r="10" spans="1:4" ht="18" thickBot="1" x14ac:dyDescent="0.3">
      <c r="A10" s="13" t="s">
        <v>174</v>
      </c>
      <c r="B10" s="14" t="s">
        <v>168</v>
      </c>
      <c r="C10" s="14">
        <v>250</v>
      </c>
      <c r="D10" s="15" t="str" cm="1">
        <f t="array" ref="D10">_xlfn.SWITCH(TRUE, C10 &gt; 600, "High", C10 &gt;= 300, "Medium", "Low")</f>
        <v>Low</v>
      </c>
    </row>
    <row r="11" spans="1:4" ht="18" thickBot="1" x14ac:dyDescent="0.3">
      <c r="A11" s="13" t="s">
        <v>174</v>
      </c>
      <c r="B11" s="14" t="s">
        <v>171</v>
      </c>
      <c r="C11" s="14">
        <v>300</v>
      </c>
      <c r="D11" s="15" t="str" cm="1">
        <f t="array" ref="D11">_xlfn.SWITCH(TRUE, C11 &gt; 600, "High", C11 &gt;= 300, "Medium", "Low")</f>
        <v>Medium</v>
      </c>
    </row>
    <row r="12" spans="1:4" ht="35.25" thickBot="1" x14ac:dyDescent="0.3">
      <c r="A12" s="13" t="s">
        <v>175</v>
      </c>
      <c r="B12" s="14" t="s">
        <v>169</v>
      </c>
      <c r="C12" s="14">
        <v>600</v>
      </c>
      <c r="D12" s="15" t="str" cm="1">
        <f t="array" ref="D12">_xlfn.SWITCH(TRUE, C12 &gt; 600, "High", C12 &gt;= 300, "Medium", "Low")</f>
        <v>Medium</v>
      </c>
    </row>
    <row r="13" spans="1:4" ht="35.25" thickBot="1" x14ac:dyDescent="0.3">
      <c r="A13" s="13" t="s">
        <v>175</v>
      </c>
      <c r="B13" s="14" t="s">
        <v>168</v>
      </c>
      <c r="C13" s="14">
        <v>400</v>
      </c>
      <c r="D13" s="15" t="str" cm="1">
        <f t="array" ref="D13">_xlfn.SWITCH(TRUE, C13 &gt; 600, "High", C13 &gt;= 300, "Medium", "Low")</f>
        <v>Medium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opLeftCell="G1" workbookViewId="0">
      <selection activeCell="Q2" sqref="Q2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155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40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41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42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43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23</v>
      </c>
      <c r="J8" t="s">
        <v>44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45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46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47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48</v>
      </c>
      <c r="J11" t="s">
        <v>49</v>
      </c>
      <c r="K11" t="s">
        <v>25</v>
      </c>
      <c r="L11" t="s">
        <v>26</v>
      </c>
      <c r="M11" s="5" t="s">
        <v>42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50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51</v>
      </c>
      <c r="K12" t="s">
        <v>25</v>
      </c>
      <c r="L12" t="s">
        <v>26</v>
      </c>
      <c r="M12" s="5" t="s">
        <v>52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54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41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55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56</v>
      </c>
      <c r="J15" t="s">
        <v>57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59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60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52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61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62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63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64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41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65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66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56</v>
      </c>
      <c r="J21" t="s">
        <v>57</v>
      </c>
      <c r="K21" t="s">
        <v>25</v>
      </c>
      <c r="L21" t="s">
        <v>26</v>
      </c>
      <c r="M21" s="5" t="s">
        <v>52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67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68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69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71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72</v>
      </c>
      <c r="K24" t="s">
        <v>25</v>
      </c>
      <c r="L24" t="s">
        <v>26</v>
      </c>
      <c r="M24" s="5" t="s">
        <v>73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74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48</v>
      </c>
      <c r="J25" t="s">
        <v>75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76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59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77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59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78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42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79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80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81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44</v>
      </c>
      <c r="K30" t="s">
        <v>25</v>
      </c>
      <c r="L30" t="s">
        <v>26</v>
      </c>
      <c r="M30" s="5" t="s">
        <v>82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83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42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84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41</v>
      </c>
      <c r="H32" t="s">
        <v>22</v>
      </c>
      <c r="I32" t="s">
        <v>85</v>
      </c>
      <c r="J32" t="s">
        <v>86</v>
      </c>
      <c r="K32" t="s">
        <v>25</v>
      </c>
      <c r="L32" t="s">
        <v>26</v>
      </c>
      <c r="M32" s="5" t="s">
        <v>42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87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62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88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56</v>
      </c>
      <c r="J34" t="s">
        <v>57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89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90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52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91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92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93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42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94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72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95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44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96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51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97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98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99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42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100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42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101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44</v>
      </c>
      <c r="K46" t="s">
        <v>25</v>
      </c>
      <c r="L46" t="s">
        <v>26</v>
      </c>
      <c r="M46" s="5" t="s">
        <v>52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102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103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72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104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105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42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106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42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107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85</v>
      </c>
      <c r="J52" t="s">
        <v>108</v>
      </c>
      <c r="K52" t="s">
        <v>25</v>
      </c>
      <c r="L52" t="s">
        <v>26</v>
      </c>
      <c r="M52" s="5" t="s">
        <v>109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110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44</v>
      </c>
      <c r="K53" t="s">
        <v>25</v>
      </c>
      <c r="L53" t="s">
        <v>26</v>
      </c>
      <c r="M53" s="5" t="s">
        <v>52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111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112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48</v>
      </c>
      <c r="J55" t="s">
        <v>49</v>
      </c>
      <c r="K55" t="s">
        <v>25</v>
      </c>
      <c r="L55" t="s">
        <v>26</v>
      </c>
      <c r="M55" s="5" t="s">
        <v>109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113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65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114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48</v>
      </c>
      <c r="J57" t="s">
        <v>49</v>
      </c>
      <c r="K57" t="s">
        <v>25</v>
      </c>
      <c r="L57" t="s">
        <v>26</v>
      </c>
      <c r="M57" s="5" t="s">
        <v>109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115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41</v>
      </c>
      <c r="H58" t="s">
        <v>22</v>
      </c>
      <c r="I58" t="s">
        <v>85</v>
      </c>
      <c r="J58" t="s">
        <v>116</v>
      </c>
      <c r="K58" t="s">
        <v>25</v>
      </c>
      <c r="L58" t="s">
        <v>26</v>
      </c>
      <c r="M58" s="5" t="s">
        <v>52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117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118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59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119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85</v>
      </c>
      <c r="J61" t="s">
        <v>86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120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44</v>
      </c>
      <c r="K62" t="s">
        <v>25</v>
      </c>
      <c r="L62" t="s">
        <v>26</v>
      </c>
      <c r="M62" s="5" t="s">
        <v>52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121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41</v>
      </c>
      <c r="H63" t="s">
        <v>28</v>
      </c>
      <c r="I63" t="s">
        <v>85</v>
      </c>
      <c r="J63" t="s">
        <v>122</v>
      </c>
      <c r="K63" t="s">
        <v>25</v>
      </c>
      <c r="L63" t="s">
        <v>26</v>
      </c>
      <c r="M63" s="5" t="s">
        <v>109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123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41</v>
      </c>
      <c r="H64" t="s">
        <v>22</v>
      </c>
      <c r="I64" t="s">
        <v>36</v>
      </c>
      <c r="J64" t="s">
        <v>72</v>
      </c>
      <c r="K64" t="s">
        <v>25</v>
      </c>
      <c r="L64" t="s">
        <v>26</v>
      </c>
      <c r="M64" s="5" t="s">
        <v>124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125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85</v>
      </c>
      <c r="J65" t="s">
        <v>86</v>
      </c>
      <c r="K65" t="s">
        <v>25</v>
      </c>
      <c r="L65" t="s">
        <v>26</v>
      </c>
      <c r="M65" s="5" t="s">
        <v>42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126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68</v>
      </c>
      <c r="K66" t="s">
        <v>25</v>
      </c>
      <c r="L66" t="s">
        <v>26</v>
      </c>
      <c r="M66" s="5" t="s">
        <v>127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128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68</v>
      </c>
      <c r="K67" t="s">
        <v>25</v>
      </c>
      <c r="L67" t="s">
        <v>26</v>
      </c>
      <c r="M67" s="5" t="s">
        <v>42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129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130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51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131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41</v>
      </c>
      <c r="H70" t="s">
        <v>28</v>
      </c>
      <c r="I70" t="s">
        <v>36</v>
      </c>
      <c r="J70" t="s">
        <v>132</v>
      </c>
      <c r="K70" t="s">
        <v>25</v>
      </c>
      <c r="L70" t="s">
        <v>26</v>
      </c>
      <c r="M70" s="5" t="s">
        <v>80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133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48</v>
      </c>
      <c r="J71" t="s">
        <v>134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135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44</v>
      </c>
      <c r="K72" t="s">
        <v>25</v>
      </c>
      <c r="L72" t="s">
        <v>26</v>
      </c>
      <c r="M72" s="5" t="s">
        <v>52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136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72</v>
      </c>
      <c r="K73" t="s">
        <v>25</v>
      </c>
      <c r="L73" t="s">
        <v>26</v>
      </c>
      <c r="M73" s="5" t="s">
        <v>73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137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51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138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56</v>
      </c>
      <c r="J75" t="s">
        <v>57</v>
      </c>
      <c r="K75" t="s">
        <v>25</v>
      </c>
      <c r="L75" t="s">
        <v>26</v>
      </c>
      <c r="M75" s="5" t="s">
        <v>139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140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51</v>
      </c>
      <c r="K76" t="s">
        <v>25</v>
      </c>
      <c r="L76" t="s">
        <v>26</v>
      </c>
      <c r="M76" s="5" t="s">
        <v>52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141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72</v>
      </c>
      <c r="K77" t="s">
        <v>25</v>
      </c>
      <c r="L77" t="s">
        <v>26</v>
      </c>
      <c r="M77" s="5" t="s">
        <v>52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142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85</v>
      </c>
      <c r="J78" t="s">
        <v>143</v>
      </c>
      <c r="K78" t="s">
        <v>25</v>
      </c>
      <c r="L78" t="s">
        <v>26</v>
      </c>
      <c r="M78" s="5" t="s">
        <v>52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144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41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145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44</v>
      </c>
      <c r="K80" t="s">
        <v>25</v>
      </c>
      <c r="L80" t="s">
        <v>26</v>
      </c>
      <c r="M80" s="5" t="s">
        <v>52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146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59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147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41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65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148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85</v>
      </c>
      <c r="J83" t="s">
        <v>86</v>
      </c>
      <c r="K83" t="s">
        <v>25</v>
      </c>
      <c r="L83" t="s">
        <v>26</v>
      </c>
      <c r="M83" s="5" t="s">
        <v>42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149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56</v>
      </c>
      <c r="J84" t="s">
        <v>57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150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48</v>
      </c>
      <c r="J85" t="s">
        <v>134</v>
      </c>
      <c r="K85" t="s">
        <v>25</v>
      </c>
      <c r="L85" t="s">
        <v>26</v>
      </c>
      <c r="M85" s="5" t="s">
        <v>52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151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68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152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56</v>
      </c>
      <c r="J87" t="s">
        <v>57</v>
      </c>
      <c r="K87" t="s">
        <v>25</v>
      </c>
      <c r="L87" t="s">
        <v>26</v>
      </c>
      <c r="M87" s="5" t="s">
        <v>59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153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154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51</v>
      </c>
      <c r="K89" t="s">
        <v>25</v>
      </c>
      <c r="L89" t="s">
        <v>26</v>
      </c>
      <c r="M89" s="5" t="s">
        <v>59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1b106-0b9c-49e9-a4d5-4d97ae91593a" xsi:nil="true"/>
    <lcf76f155ced4ddcb4097134ff3c332f xmlns="65134eee-7fcf-453b-ab1a-ca2bf883d6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313A747A9E4F429189AA2F2CFD706C" ma:contentTypeVersion="11" ma:contentTypeDescription="Create a new document." ma:contentTypeScope="" ma:versionID="f122fedafea58dc4a7e195d4a0d5edc1">
  <xsd:schema xmlns:xsd="http://www.w3.org/2001/XMLSchema" xmlns:xs="http://www.w3.org/2001/XMLSchema" xmlns:p="http://schemas.microsoft.com/office/2006/metadata/properties" xmlns:ns2="65134eee-7fcf-453b-ab1a-ca2bf883d618" xmlns:ns3="43b1b106-0b9c-49e9-a4d5-4d97ae91593a" targetNamespace="http://schemas.microsoft.com/office/2006/metadata/properties" ma:root="true" ma:fieldsID="e762e094320ba1a3387976ce85269a50" ns2:_="" ns3:_="">
    <xsd:import namespace="65134eee-7fcf-453b-ab1a-ca2bf883d618"/>
    <xsd:import namespace="43b1b106-0b9c-49e9-a4d5-4d97ae9159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34eee-7fcf-453b-ab1a-ca2bf883d6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1b106-0b9c-49e9-a4d5-4d97ae9159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9e4099-6c38-4ad5-8d73-a4477230ed45}" ma:internalName="TaxCatchAll" ma:showField="CatchAllData" ma:web="43b1b106-0b9c-49e9-a4d5-4d97ae9159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43b1b106-0b9c-49e9-a4d5-4d97ae91593a"/>
    <ds:schemaRef ds:uri="65134eee-7fcf-453b-ab1a-ca2bf883d618"/>
  </ds:schemaRefs>
</ds:datastoreItem>
</file>

<file path=customXml/itemProps2.xml><?xml version="1.0" encoding="utf-8"?>
<ds:datastoreItem xmlns:ds="http://schemas.openxmlformats.org/officeDocument/2006/customXml" ds:itemID="{3C9E1DCA-B35B-41D7-A4D0-92B4BB43B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134eee-7fcf-453b-ab1a-ca2bf883d618"/>
    <ds:schemaRef ds:uri="43b1b106-0b9c-49e9-a4d5-4d97ae9159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TASK 1</vt:lpstr>
      <vt:lpstr>PIVOT TASK 2</vt:lpstr>
      <vt:lpstr>TASK 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Abdu Adem</cp:lastModifiedBy>
  <cp:revision/>
  <dcterms:created xsi:type="dcterms:W3CDTF">2022-11-04T20:14:11Z</dcterms:created>
  <dcterms:modified xsi:type="dcterms:W3CDTF">2025-10-31T13:00:43Z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0x01010007313A747A9E4F429189AA2F2CFD706C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